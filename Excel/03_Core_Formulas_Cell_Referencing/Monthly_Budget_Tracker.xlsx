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c7ca1e2407a2b3/Attachments/Desktop/"/>
    </mc:Choice>
  </mc:AlternateContent>
  <xr:revisionPtr revIDLastSave="0" documentId="8_{ABAA1316-20E9-40F5-B403-7E0DDAC6BE9D}" xr6:coauthVersionLast="47" xr6:coauthVersionMax="47" xr10:uidLastSave="{00000000-0000-0000-0000-000000000000}"/>
  <bookViews>
    <workbookView xWindow="-120" yWindow="-120" windowWidth="20730" windowHeight="11040" xr2:uid="{1B225C0A-F098-431B-9E34-B43DBB30A3D4}"/>
  </bookViews>
  <sheets>
    <sheet name="Sheet1" sheetId="1" r:id="rId1"/>
  </sheets>
  <definedNames>
    <definedName name="DinningOut">Sheet1!$I$3:$I$29</definedName>
    <definedName name="Entertainment">Sheet1!$F$3:$F$29</definedName>
    <definedName name="Groceries">Sheet1!$C$3:$C$29</definedName>
    <definedName name="Healthcare">Sheet1!$G$3:$G$29</definedName>
    <definedName name="Misc">Sheet1!$J$3:$J$29</definedName>
    <definedName name="Rent">Sheet1!$B$3:$B$29</definedName>
    <definedName name="Subscription">Sheet1!$H$3:$H$29</definedName>
    <definedName name="Transport">Sheet1!$D$3:$D$29</definedName>
    <definedName name="Utilities">Sheet1!$E$3:$E$29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" l="1"/>
  <c r="I31" i="1"/>
  <c r="H31" i="1"/>
  <c r="G31" i="1"/>
  <c r="F31" i="1"/>
  <c r="E31" i="1"/>
  <c r="D31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3" i="1"/>
  <c r="K3" i="1"/>
  <c r="L3" i="1" s="1"/>
  <c r="L2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1" i="1"/>
  <c r="L22" i="1"/>
  <c r="L23" i="1"/>
  <c r="L25" i="1"/>
  <c r="L26" i="1"/>
  <c r="L27" i="1"/>
  <c r="L28" i="1"/>
  <c r="L29" i="1"/>
  <c r="L4" i="1"/>
  <c r="K7" i="1"/>
  <c r="K6" i="1"/>
  <c r="K5" i="1"/>
  <c r="K4" i="1"/>
  <c r="K29" i="1"/>
  <c r="K28" i="1"/>
  <c r="K27" i="1"/>
  <c r="C31" i="1"/>
  <c r="B31" i="1"/>
  <c r="J30" i="1"/>
  <c r="I30" i="1"/>
  <c r="H30" i="1"/>
  <c r="G30" i="1"/>
  <c r="F30" i="1"/>
  <c r="E30" i="1"/>
  <c r="D30" i="1"/>
  <c r="C30" i="1"/>
  <c r="B30" i="1"/>
  <c r="K8" i="1"/>
  <c r="K9" i="1"/>
  <c r="K10" i="1"/>
  <c r="K11" i="1"/>
  <c r="K12" i="1"/>
  <c r="K13" i="1"/>
  <c r="K14" i="1"/>
  <c r="K15" i="1"/>
  <c r="K16" i="1"/>
  <c r="K17" i="1"/>
  <c r="K18" i="1"/>
  <c r="K19" i="1"/>
  <c r="K21" i="1"/>
  <c r="K22" i="1"/>
  <c r="K23" i="1"/>
  <c r="K24" i="1"/>
  <c r="K25" i="1"/>
  <c r="K26" i="1"/>
  <c r="M26" i="1"/>
  <c r="M29" i="1"/>
  <c r="M27" i="1"/>
  <c r="M24" i="1"/>
  <c r="M22" i="1"/>
  <c r="M20" i="1"/>
  <c r="L20" i="1"/>
  <c r="M23" i="1"/>
  <c r="M25" i="1"/>
  <c r="K20" i="1"/>
  <c r="M21" i="1"/>
  <c r="K20" i="1" a="1"/>
  <c r="M2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<sst xmlns="http://schemas.openxmlformats.org/spreadsheetml/2006/main" count="17" uniqueCount="17">
  <si>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Date</t>
  </si>
  <si>
    <t>Rent</t>
  </si>
  <si>
    <t>Groceries</t>
  </si>
  <si>
    <t>Transport</t>
  </si>
  <si>
    <t>Utilities</t>
  </si>
  <si>
    <t>Entertainment</t>
  </si>
  <si>
    <t>Healthcare</t>
  </si>
  <si>
    <t>Subscription</t>
  </si>
  <si>
    <t>DinningOut</t>
  </si>
  <si>
    <t>Misc</t>
  </si>
  <si>
    <t>Total Daily Spend</t>
  </si>
  <si>
    <t>Daily Spend</t>
  </si>
  <si>
    <t>Cumulative Spend</t>
  </si>
  <si>
    <t>Notes</t>
  </si>
  <si>
    <t>Monthly total</t>
  </si>
  <si>
    <t>Average  Daily Spend</t>
  </si>
  <si>
    <t>DailySpend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</si>
</sst>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₹-4009]\ #,##0.00"/>
    <numFmt numFmtId="172" formatCode="[$₹-44B]#,##0.00"/>
  </numFmts>
  <fonts count="2" x14ac:knownFonts="1"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 applyAlignment="1">
      <alignment horizontal="center"/>
    </xf>
    <xf numFmtId="168" fontId="0" fillId="0" borderId="1" xfId="0" applyNumberFormat="1" applyBorder="1"/>
    <xf numFmtId="168" fontId="0" fillId="0" borderId="1" xfId="0" applyNumberFormat="1" applyBorder="1" applyAlignment="1">
      <alignment vertical="center" wrapText="1"/>
    </xf>
    <xf numFmtId="168" fontId="0" fillId="0" borderId="0" xfId="0" applyNumberFormat="1"/>
    <xf numFmtId="0" fontId="0" fillId="2" borderId="2" xfId="0" applyFill="1" applyBorder="1" applyAlignment="1">
      <alignment horizontal="center"/>
    </xf>
    <xf numFmtId="172" fontId="0" fillId="0" borderId="0" xfId="0" applyNumberFormat="1"/>
    <xf numFmtId="172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010F7-B4CF-4F23-8C79-30A8270A4F15}">
  <dimension ref="A2:P33"/>
  <sheetViews>
    <sheetView tabSelected="1" workbookViewId="0">
      <pane ySplit="1" topLeftCell="A16" activePane="bottomLeft" state="frozen"/>
      <selection pane="bottomLeft" activeCell="B32" sqref="B32"/>
    </sheetView>
  </sheetViews>
  <sheetFormatPr defaultRowHeight="15.75" x14ac:dyDescent="0.25"/>
  <cols>
    <col min="1" max="1" width="17.5" customWidth="1"/>
    <col min="2" max="2" width="10.375" bestFit="1" customWidth="1"/>
    <col min="3" max="5" width="9.375" bestFit="1" customWidth="1"/>
    <col min="6" max="6" width="13.125" customWidth="1"/>
    <col min="7" max="7" width="10.375" customWidth="1"/>
    <col min="8" max="9" width="10.875" customWidth="1"/>
    <col min="10" max="10" width="9.375" bestFit="1" customWidth="1"/>
    <col min="11" max="11" width="15.125" bestFit="1" customWidth="1"/>
    <col min="12" max="12" width="10" customWidth="1"/>
    <col min="13" max="13" width="15.5" bestFit="1" customWidth="1"/>
  </cols>
  <sheetData>
    <row r="2" spans="1:16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7" t="s">
        <v>16</v>
      </c>
      <c r="P2" s="8">
        <v>8000</v>
      </c>
    </row>
    <row r="3" spans="1:16" x14ac:dyDescent="0.25">
      <c r="A3" s="2">
        <v>46235</v>
      </c>
      <c r="B3" s="4">
        <v>35000</v>
      </c>
      <c r="C3" s="4">
        <v>1537</v>
      </c>
      <c r="D3" s="4">
        <v>441</v>
      </c>
      <c r="E3" s="4">
        <v>1235</v>
      </c>
      <c r="F3" s="4">
        <v>792</v>
      </c>
      <c r="G3" s="5">
        <v>2000</v>
      </c>
      <c r="H3" s="5">
        <v>1228</v>
      </c>
      <c r="I3" s="5">
        <v>848</v>
      </c>
      <c r="J3" s="5">
        <v>1959</v>
      </c>
      <c r="K3" s="4">
        <f>SUM(B3:J3)</f>
        <v>45040</v>
      </c>
      <c r="L3" s="9">
        <f>P2-K3</f>
        <v>-37040</v>
      </c>
      <c r="M3" s="4">
        <f>SUM($K$3:K3)</f>
        <v>45040</v>
      </c>
      <c r="N3" s="1"/>
    </row>
    <row r="4" spans="1:16" x14ac:dyDescent="0.25">
      <c r="A4" s="2">
        <v>46236</v>
      </c>
      <c r="B4" s="4">
        <v>0</v>
      </c>
      <c r="C4" s="4">
        <v>221</v>
      </c>
      <c r="D4" s="4">
        <v>976</v>
      </c>
      <c r="E4" s="4">
        <v>1015</v>
      </c>
      <c r="F4" s="4">
        <v>591</v>
      </c>
      <c r="G4" s="5">
        <v>0</v>
      </c>
      <c r="H4" s="5">
        <v>1441</v>
      </c>
      <c r="I4" s="5">
        <v>517</v>
      </c>
      <c r="J4" s="5">
        <v>1448</v>
      </c>
      <c r="K4" s="4">
        <f>SUM(B4:J4)</f>
        <v>6209</v>
      </c>
      <c r="L4" s="4">
        <f>K4-P2</f>
        <v>-1791</v>
      </c>
      <c r="M4" s="4">
        <f>SUM($K$3:K4)</f>
        <v>51249</v>
      </c>
      <c r="N4" s="1"/>
    </row>
    <row r="5" spans="1:16" x14ac:dyDescent="0.25">
      <c r="A5" s="2">
        <v>46237</v>
      </c>
      <c r="B5" s="4">
        <v>0</v>
      </c>
      <c r="C5" s="4">
        <v>452</v>
      </c>
      <c r="D5" s="4">
        <v>1511</v>
      </c>
      <c r="E5" s="4">
        <v>1495</v>
      </c>
      <c r="F5" s="4">
        <v>1898</v>
      </c>
      <c r="G5" s="5">
        <v>0</v>
      </c>
      <c r="H5" s="5">
        <v>702</v>
      </c>
      <c r="I5" s="5">
        <v>1900</v>
      </c>
      <c r="J5" s="5">
        <v>584</v>
      </c>
      <c r="K5" s="4">
        <f>SUM(B5:J5)</f>
        <v>8542</v>
      </c>
      <c r="L5" s="4">
        <f t="shared" ref="L5:L29" si="0">K5-P3</f>
        <v>8542</v>
      </c>
      <c r="M5" s="4">
        <f>SUM($K$3:K5)</f>
        <v>59791</v>
      </c>
      <c r="N5" s="1"/>
    </row>
    <row r="6" spans="1:16" x14ac:dyDescent="0.25">
      <c r="A6" s="2">
        <v>46238</v>
      </c>
      <c r="B6" s="4">
        <v>0</v>
      </c>
      <c r="C6" s="4">
        <v>947</v>
      </c>
      <c r="D6" s="4">
        <v>2046</v>
      </c>
      <c r="E6" s="4">
        <v>655</v>
      </c>
      <c r="F6" s="4">
        <v>618</v>
      </c>
      <c r="G6" s="5">
        <v>0</v>
      </c>
      <c r="H6" s="5">
        <v>966</v>
      </c>
      <c r="I6" s="5">
        <v>1448</v>
      </c>
      <c r="J6" s="5">
        <v>1626</v>
      </c>
      <c r="K6" s="4">
        <f>SUM(B6:J6)</f>
        <v>8306</v>
      </c>
      <c r="L6" s="4">
        <f t="shared" si="0"/>
        <v>8306</v>
      </c>
      <c r="M6" s="4">
        <f>SUM($K$3:K6)</f>
        <v>68097</v>
      </c>
      <c r="N6" s="1"/>
    </row>
    <row r="7" spans="1:16" x14ac:dyDescent="0.25">
      <c r="A7" s="2">
        <v>46239</v>
      </c>
      <c r="B7" s="4">
        <v>0</v>
      </c>
      <c r="C7" s="4">
        <v>1056</v>
      </c>
      <c r="D7" s="4">
        <v>2581</v>
      </c>
      <c r="E7" s="4">
        <v>1569</v>
      </c>
      <c r="F7" s="4">
        <v>488</v>
      </c>
      <c r="G7" s="5">
        <v>0</v>
      </c>
      <c r="H7" s="5">
        <v>597</v>
      </c>
      <c r="I7" s="5">
        <v>1457</v>
      </c>
      <c r="J7" s="5">
        <v>1861</v>
      </c>
      <c r="K7" s="4">
        <f>SUM(B7:J7)</f>
        <v>9609</v>
      </c>
      <c r="L7" s="4">
        <f t="shared" si="0"/>
        <v>9609</v>
      </c>
      <c r="M7" s="4">
        <f>SUM($K$3:K7)</f>
        <v>77706</v>
      </c>
      <c r="N7" s="1"/>
    </row>
    <row r="8" spans="1:16" x14ac:dyDescent="0.25">
      <c r="A8" s="2">
        <v>46240</v>
      </c>
      <c r="B8" s="4">
        <v>0</v>
      </c>
      <c r="C8" s="4">
        <v>1784</v>
      </c>
      <c r="D8" s="4">
        <v>3116</v>
      </c>
      <c r="E8" s="4">
        <v>764</v>
      </c>
      <c r="F8" s="4">
        <v>578</v>
      </c>
      <c r="G8" s="5">
        <v>0</v>
      </c>
      <c r="H8" s="5">
        <v>1070</v>
      </c>
      <c r="I8" s="5">
        <v>883</v>
      </c>
      <c r="J8" s="5">
        <v>1353</v>
      </c>
      <c r="K8" s="4">
        <f t="shared" ref="K4:K29" si="1">SUM(B8:J8)</f>
        <v>9548</v>
      </c>
      <c r="L8" s="4">
        <f t="shared" si="0"/>
        <v>9548</v>
      </c>
      <c r="M8" s="4">
        <f>SUM($K$3:K8)</f>
        <v>87254</v>
      </c>
      <c r="N8" s="1"/>
    </row>
    <row r="9" spans="1:16" x14ac:dyDescent="0.25">
      <c r="A9" s="2">
        <v>46241</v>
      </c>
      <c r="B9" s="4">
        <v>0</v>
      </c>
      <c r="C9" s="4">
        <v>674</v>
      </c>
      <c r="D9" s="4">
        <v>1096</v>
      </c>
      <c r="E9" s="4">
        <v>1097</v>
      </c>
      <c r="F9" s="4">
        <v>1996</v>
      </c>
      <c r="G9" s="5">
        <v>5000</v>
      </c>
      <c r="H9" s="5">
        <v>994</v>
      </c>
      <c r="I9" s="5">
        <v>863</v>
      </c>
      <c r="J9" s="5">
        <v>1276</v>
      </c>
      <c r="K9" s="4">
        <f t="shared" si="1"/>
        <v>12996</v>
      </c>
      <c r="L9" s="4">
        <f t="shared" si="0"/>
        <v>12996</v>
      </c>
      <c r="M9" s="4">
        <f>SUM($K$3:K9)</f>
        <v>100250</v>
      </c>
      <c r="N9" s="1"/>
    </row>
    <row r="10" spans="1:16" x14ac:dyDescent="0.25">
      <c r="A10" s="2">
        <v>46242</v>
      </c>
      <c r="B10" s="4">
        <v>0</v>
      </c>
      <c r="C10" s="4">
        <v>1282</v>
      </c>
      <c r="D10" s="4">
        <v>1563</v>
      </c>
      <c r="E10" s="4">
        <v>1563</v>
      </c>
      <c r="F10" s="4">
        <v>1713</v>
      </c>
      <c r="G10" s="5">
        <v>0</v>
      </c>
      <c r="H10" s="5">
        <v>592</v>
      </c>
      <c r="I10" s="5">
        <v>1597</v>
      </c>
      <c r="J10" s="5">
        <v>1907</v>
      </c>
      <c r="K10" s="4">
        <f t="shared" si="1"/>
        <v>10217</v>
      </c>
      <c r="L10" s="4">
        <f t="shared" si="0"/>
        <v>10217</v>
      </c>
      <c r="M10" s="4">
        <f>SUM($K$3:K10)</f>
        <v>110467</v>
      </c>
      <c r="N10" s="1"/>
    </row>
    <row r="11" spans="1:16" x14ac:dyDescent="0.25">
      <c r="A11" s="2">
        <v>46243</v>
      </c>
      <c r="B11" s="4">
        <v>0</v>
      </c>
      <c r="C11" s="4">
        <v>710</v>
      </c>
      <c r="D11" s="4">
        <v>1155</v>
      </c>
      <c r="E11" s="4">
        <v>291</v>
      </c>
      <c r="F11" s="4">
        <v>430</v>
      </c>
      <c r="G11" s="5">
        <v>0</v>
      </c>
      <c r="H11" s="5">
        <v>406</v>
      </c>
      <c r="I11" s="5">
        <v>1895</v>
      </c>
      <c r="J11" s="5">
        <v>929</v>
      </c>
      <c r="K11" s="4">
        <f t="shared" si="1"/>
        <v>5816</v>
      </c>
      <c r="L11" s="4">
        <f t="shared" si="0"/>
        <v>5816</v>
      </c>
      <c r="M11" s="4">
        <f>SUM($K$3:K11)</f>
        <v>116283</v>
      </c>
      <c r="N11" s="1"/>
    </row>
    <row r="12" spans="1:16" x14ac:dyDescent="0.25">
      <c r="A12" s="2">
        <v>46244</v>
      </c>
      <c r="B12" s="4">
        <v>0</v>
      </c>
      <c r="C12" s="4">
        <v>1905</v>
      </c>
      <c r="D12" s="4">
        <v>1678</v>
      </c>
      <c r="E12" s="4">
        <v>1590</v>
      </c>
      <c r="F12" s="4">
        <v>1217</v>
      </c>
      <c r="G12" s="5">
        <v>0</v>
      </c>
      <c r="H12" s="5">
        <v>1238</v>
      </c>
      <c r="I12" s="5">
        <v>1831</v>
      </c>
      <c r="J12" s="5">
        <v>1895</v>
      </c>
      <c r="K12" s="4">
        <f t="shared" si="1"/>
        <v>11354</v>
      </c>
      <c r="L12" s="4">
        <f t="shared" si="0"/>
        <v>11354</v>
      </c>
      <c r="M12" s="4">
        <f>SUM($K$3:K12)</f>
        <v>127637</v>
      </c>
      <c r="N12" s="1"/>
    </row>
    <row r="13" spans="1:16" x14ac:dyDescent="0.25">
      <c r="A13" s="2">
        <v>46245</v>
      </c>
      <c r="B13" s="4">
        <v>0</v>
      </c>
      <c r="C13" s="4">
        <v>1099</v>
      </c>
      <c r="D13" s="4">
        <v>1651</v>
      </c>
      <c r="E13" s="4">
        <v>1155</v>
      </c>
      <c r="F13" s="4">
        <v>240</v>
      </c>
      <c r="G13" s="5">
        <v>0</v>
      </c>
      <c r="H13" s="5">
        <v>1777</v>
      </c>
      <c r="I13" s="5">
        <v>1695</v>
      </c>
      <c r="J13" s="5">
        <v>1933</v>
      </c>
      <c r="K13" s="4">
        <f t="shared" si="1"/>
        <v>9550</v>
      </c>
      <c r="L13" s="4">
        <f t="shared" si="0"/>
        <v>9550</v>
      </c>
      <c r="M13" s="4">
        <f>SUM($K$3:K13)</f>
        <v>137187</v>
      </c>
      <c r="N13" s="1"/>
    </row>
    <row r="14" spans="1:16" x14ac:dyDescent="0.25">
      <c r="A14" s="2">
        <v>46246</v>
      </c>
      <c r="B14" s="4">
        <v>0</v>
      </c>
      <c r="C14" s="4">
        <v>899</v>
      </c>
      <c r="D14" s="4">
        <v>708</v>
      </c>
      <c r="E14" s="4">
        <v>1678</v>
      </c>
      <c r="F14" s="4">
        <v>1251</v>
      </c>
      <c r="G14" s="5">
        <v>0</v>
      </c>
      <c r="H14" s="5">
        <v>1091</v>
      </c>
      <c r="I14" s="5">
        <v>1456</v>
      </c>
      <c r="J14" s="5">
        <v>1639</v>
      </c>
      <c r="K14" s="4">
        <f t="shared" si="1"/>
        <v>8722</v>
      </c>
      <c r="L14" s="4">
        <f t="shared" si="0"/>
        <v>8722</v>
      </c>
      <c r="M14" s="4">
        <f>SUM($K$3:K14)</f>
        <v>145909</v>
      </c>
      <c r="N14" s="1"/>
    </row>
    <row r="15" spans="1:16" x14ac:dyDescent="0.25">
      <c r="A15" s="2">
        <v>46247</v>
      </c>
      <c r="B15" s="4">
        <v>0</v>
      </c>
      <c r="C15" s="4">
        <v>1175</v>
      </c>
      <c r="D15" s="4">
        <v>975</v>
      </c>
      <c r="E15" s="4">
        <v>1651</v>
      </c>
      <c r="F15" s="4">
        <v>334</v>
      </c>
      <c r="G15" s="5">
        <v>0</v>
      </c>
      <c r="H15" s="5">
        <v>1684</v>
      </c>
      <c r="I15" s="5">
        <v>1915</v>
      </c>
      <c r="J15" s="5">
        <v>446</v>
      </c>
      <c r="K15" s="4">
        <f t="shared" si="1"/>
        <v>8180</v>
      </c>
      <c r="L15" s="4">
        <f t="shared" si="0"/>
        <v>8180</v>
      </c>
      <c r="M15" s="4">
        <f>SUM($K$3:K15)</f>
        <v>154089</v>
      </c>
      <c r="N15" s="1"/>
    </row>
    <row r="16" spans="1:16" x14ac:dyDescent="0.25">
      <c r="A16" s="2">
        <v>46248</v>
      </c>
      <c r="B16" s="4">
        <v>0</v>
      </c>
      <c r="C16" s="4">
        <v>389</v>
      </c>
      <c r="D16" s="4">
        <v>234</v>
      </c>
      <c r="E16" s="4">
        <v>708</v>
      </c>
      <c r="F16" s="4">
        <v>400</v>
      </c>
      <c r="G16" s="5">
        <v>0</v>
      </c>
      <c r="H16" s="5">
        <v>1914</v>
      </c>
      <c r="I16" s="5">
        <v>1336</v>
      </c>
      <c r="J16" s="5">
        <v>1035</v>
      </c>
      <c r="K16" s="4">
        <f t="shared" si="1"/>
        <v>6016</v>
      </c>
      <c r="L16" s="4">
        <f t="shared" si="0"/>
        <v>6016</v>
      </c>
      <c r="M16" s="4">
        <f>SUM($K$3:K16)</f>
        <v>160105</v>
      </c>
      <c r="N16" s="1"/>
    </row>
    <row r="17" spans="1:14" x14ac:dyDescent="0.25">
      <c r="A17" s="2">
        <v>46249</v>
      </c>
      <c r="B17" s="4">
        <v>0</v>
      </c>
      <c r="C17" s="4">
        <v>886</v>
      </c>
      <c r="D17" s="4">
        <v>405</v>
      </c>
      <c r="E17" s="4">
        <v>975</v>
      </c>
      <c r="F17" s="4">
        <v>979</v>
      </c>
      <c r="G17" s="5">
        <v>0</v>
      </c>
      <c r="H17" s="5">
        <v>1798</v>
      </c>
      <c r="I17" s="5">
        <v>1720</v>
      </c>
      <c r="J17" s="5">
        <v>1662</v>
      </c>
      <c r="K17" s="4">
        <f t="shared" si="1"/>
        <v>8425</v>
      </c>
      <c r="L17" s="4">
        <f t="shared" si="0"/>
        <v>8425</v>
      </c>
      <c r="M17" s="4">
        <f>SUM($K$3:K17)</f>
        <v>168530</v>
      </c>
      <c r="N17" s="1"/>
    </row>
    <row r="18" spans="1:14" x14ac:dyDescent="0.25">
      <c r="A18" s="2">
        <v>46250</v>
      </c>
      <c r="B18" s="4">
        <v>0</v>
      </c>
      <c r="C18" s="4">
        <v>1157</v>
      </c>
      <c r="D18" s="4">
        <v>1304</v>
      </c>
      <c r="E18" s="4">
        <v>234</v>
      </c>
      <c r="F18" s="4">
        <v>1129</v>
      </c>
      <c r="G18" s="5">
        <v>0</v>
      </c>
      <c r="H18" s="5">
        <v>1063</v>
      </c>
      <c r="I18" s="5">
        <v>641</v>
      </c>
      <c r="J18" s="5">
        <v>402</v>
      </c>
      <c r="K18" s="4">
        <f t="shared" si="1"/>
        <v>5930</v>
      </c>
      <c r="L18" s="4">
        <f t="shared" si="0"/>
        <v>5930</v>
      </c>
      <c r="M18" s="4">
        <f>SUM($K$3:K18)</f>
        <v>174460</v>
      </c>
      <c r="N18" s="1"/>
    </row>
    <row r="19" spans="1:14" x14ac:dyDescent="0.25">
      <c r="A19" s="2">
        <v>46251</v>
      </c>
      <c r="B19" s="4">
        <v>0</v>
      </c>
      <c r="C19" s="4">
        <v>762</v>
      </c>
      <c r="D19" s="4">
        <v>1785</v>
      </c>
      <c r="E19" s="4">
        <v>1304</v>
      </c>
      <c r="F19" s="4">
        <v>1256</v>
      </c>
      <c r="G19" s="5">
        <v>0</v>
      </c>
      <c r="H19" s="5">
        <v>942</v>
      </c>
      <c r="I19" s="5">
        <v>763</v>
      </c>
      <c r="J19" s="5">
        <v>1407</v>
      </c>
      <c r="K19" s="4">
        <f t="shared" si="1"/>
        <v>8219</v>
      </c>
      <c r="L19" s="4">
        <f t="shared" si="0"/>
        <v>8219</v>
      </c>
      <c r="M19" s="4">
        <f>SUM($K$3:K19)</f>
        <v>182679</v>
      </c>
      <c r="N19" s="1"/>
    </row>
    <row r="20" spans="1:14" x14ac:dyDescent="0.25">
      <c r="A20" s="2">
        <v>46252</v>
      </c>
      <c r="B20" s="4">
        <v>0</v>
      </c>
      <c r="C20" s="4">
        <v>1790</v>
      </c>
      <c r="D20" s="4">
        <v>1611</v>
      </c>
      <c r="E20" s="4">
        <v>1785</v>
      </c>
      <c r="F20" s="4">
        <v>127</v>
      </c>
      <c r="G20" s="5">
        <v>1500</v>
      </c>
      <c r="H20" s="5">
        <v>1464</v>
      </c>
      <c r="I20" s="5">
        <v>1491</v>
      </c>
      <c r="J20" s="5">
        <v>322</v>
      </c>
      <c r="K20" s="4" cm="1">
        <f t="array" aca="1" ref="K20" ca="1">E3:K20</f>
        <v>0</v>
      </c>
      <c r="L20" s="4">
        <f t="shared" ca="1" si="0"/>
        <v>-1791</v>
      </c>
      <c r="M20" s="4">
        <f ca="1">SUM($K$3:K20)</f>
        <v>45040</v>
      </c>
      <c r="N20" s="1"/>
    </row>
    <row r="21" spans="1:14" x14ac:dyDescent="0.25">
      <c r="A21" s="2">
        <v>46253</v>
      </c>
      <c r="B21" s="4">
        <v>0</v>
      </c>
      <c r="C21" s="4">
        <v>1467</v>
      </c>
      <c r="D21" s="4">
        <v>1222</v>
      </c>
      <c r="E21" s="4">
        <v>1611</v>
      </c>
      <c r="F21" s="4">
        <v>702</v>
      </c>
      <c r="G21" s="5">
        <v>1454</v>
      </c>
      <c r="H21" s="5">
        <v>763</v>
      </c>
      <c r="I21" s="5">
        <v>1733</v>
      </c>
      <c r="J21" s="5">
        <v>600</v>
      </c>
      <c r="K21" s="4">
        <f t="shared" si="1"/>
        <v>9552</v>
      </c>
      <c r="L21" s="4">
        <f t="shared" si="0"/>
        <v>9552</v>
      </c>
      <c r="M21" s="4">
        <f ca="1">SUM($K$3:K21)</f>
        <v>45040</v>
      </c>
      <c r="N21" s="1"/>
    </row>
    <row r="22" spans="1:14" x14ac:dyDescent="0.25">
      <c r="A22" s="2">
        <v>46254</v>
      </c>
      <c r="B22" s="4">
        <v>0</v>
      </c>
      <c r="C22" s="4">
        <v>1031</v>
      </c>
      <c r="D22" s="4">
        <v>1223</v>
      </c>
      <c r="E22" s="4">
        <v>1225</v>
      </c>
      <c r="F22" s="4">
        <v>606</v>
      </c>
      <c r="G22" s="5">
        <v>0</v>
      </c>
      <c r="H22" s="5">
        <v>1220</v>
      </c>
      <c r="I22" s="5">
        <v>1609</v>
      </c>
      <c r="J22" s="5">
        <v>966</v>
      </c>
      <c r="K22" s="4">
        <f t="shared" si="1"/>
        <v>7880</v>
      </c>
      <c r="L22" s="4">
        <f t="shared" si="0"/>
        <v>7880</v>
      </c>
      <c r="M22" s="4">
        <f ca="1">SUM($K$3:K22)</f>
        <v>45040</v>
      </c>
      <c r="N22" s="1"/>
    </row>
    <row r="23" spans="1:14" x14ac:dyDescent="0.25">
      <c r="A23" s="2">
        <v>46255</v>
      </c>
      <c r="B23" s="4">
        <v>0</v>
      </c>
      <c r="C23" s="4">
        <v>1728</v>
      </c>
      <c r="D23" s="4">
        <v>1221</v>
      </c>
      <c r="E23" s="4">
        <v>1221</v>
      </c>
      <c r="F23" s="4">
        <v>1797</v>
      </c>
      <c r="G23" s="5">
        <v>0</v>
      </c>
      <c r="H23" s="5">
        <v>295</v>
      </c>
      <c r="I23" s="5">
        <v>1610</v>
      </c>
      <c r="J23" s="5">
        <v>493</v>
      </c>
      <c r="K23" s="4">
        <f t="shared" si="1"/>
        <v>8365</v>
      </c>
      <c r="L23" s="4">
        <f t="shared" si="0"/>
        <v>8365</v>
      </c>
      <c r="M23" s="4">
        <f ca="1">SUM($K$3:K23)</f>
        <v>45040</v>
      </c>
      <c r="N23" s="1"/>
    </row>
    <row r="24" spans="1:14" x14ac:dyDescent="0.25">
      <c r="A24" s="2">
        <v>46256</v>
      </c>
      <c r="B24" s="4">
        <v>0</v>
      </c>
      <c r="C24" s="4">
        <v>1354</v>
      </c>
      <c r="D24" s="4">
        <v>1613</v>
      </c>
      <c r="E24" s="4">
        <v>1613</v>
      </c>
      <c r="F24" s="4">
        <v>1951</v>
      </c>
      <c r="G24" s="5">
        <v>0</v>
      </c>
      <c r="H24" s="5">
        <v>1957</v>
      </c>
      <c r="I24" s="5">
        <v>1336</v>
      </c>
      <c r="J24" s="5">
        <v>479</v>
      </c>
      <c r="K24" s="4">
        <f t="shared" si="1"/>
        <v>10303</v>
      </c>
      <c r="L24" s="4">
        <f>K24-P22</f>
        <v>10303</v>
      </c>
      <c r="M24" s="4">
        <f ca="1">SUM($K$3:K24)</f>
        <v>45040</v>
      </c>
      <c r="N24" s="1"/>
    </row>
    <row r="25" spans="1:14" x14ac:dyDescent="0.25">
      <c r="A25" s="2">
        <v>46257</v>
      </c>
      <c r="B25" s="4">
        <v>0</v>
      </c>
      <c r="C25" s="4">
        <v>1708</v>
      </c>
      <c r="D25" s="4">
        <v>765</v>
      </c>
      <c r="E25" s="4">
        <v>765</v>
      </c>
      <c r="F25" s="4">
        <v>1004</v>
      </c>
      <c r="G25" s="5">
        <v>0</v>
      </c>
      <c r="H25" s="5">
        <v>684</v>
      </c>
      <c r="I25" s="5">
        <v>1836</v>
      </c>
      <c r="J25" s="5">
        <v>1083</v>
      </c>
      <c r="K25" s="4">
        <f t="shared" si="1"/>
        <v>7845</v>
      </c>
      <c r="L25" s="4">
        <f t="shared" si="0"/>
        <v>7845</v>
      </c>
      <c r="M25" s="4">
        <f ca="1">SUM($K$3:K25)</f>
        <v>45040</v>
      </c>
      <c r="N25" s="1"/>
    </row>
    <row r="26" spans="1:14" x14ac:dyDescent="0.25">
      <c r="A26" s="2">
        <v>46258</v>
      </c>
      <c r="B26" s="4">
        <v>0</v>
      </c>
      <c r="C26" s="4">
        <v>1040</v>
      </c>
      <c r="D26" s="4">
        <v>1329</v>
      </c>
      <c r="E26" s="4">
        <v>1329</v>
      </c>
      <c r="F26" s="4">
        <v>298</v>
      </c>
      <c r="G26" s="5">
        <v>0</v>
      </c>
      <c r="H26" s="5">
        <v>1630</v>
      </c>
      <c r="I26" s="5">
        <v>1848</v>
      </c>
      <c r="J26" s="5">
        <v>1833</v>
      </c>
      <c r="K26" s="4">
        <f t="shared" si="1"/>
        <v>9307</v>
      </c>
      <c r="L26" s="4">
        <f t="shared" si="0"/>
        <v>9307</v>
      </c>
      <c r="M26" s="4">
        <f ca="1">SUM($K$3:K26)</f>
        <v>45040</v>
      </c>
      <c r="N26" s="1"/>
    </row>
    <row r="27" spans="1:14" x14ac:dyDescent="0.25">
      <c r="A27" s="2">
        <v>46259</v>
      </c>
      <c r="B27" s="4">
        <v>0</v>
      </c>
      <c r="C27" s="4">
        <v>1790</v>
      </c>
      <c r="D27" s="4">
        <v>1995</v>
      </c>
      <c r="E27" s="4">
        <v>199</v>
      </c>
      <c r="F27" s="4">
        <v>889</v>
      </c>
      <c r="G27" s="5">
        <v>0</v>
      </c>
      <c r="H27" s="5">
        <v>430</v>
      </c>
      <c r="I27" s="5">
        <v>1151</v>
      </c>
      <c r="J27" s="5">
        <v>397</v>
      </c>
      <c r="K27" s="4">
        <f>SUM(B27:J27)</f>
        <v>6851</v>
      </c>
      <c r="L27" s="4">
        <f t="shared" si="0"/>
        <v>6851</v>
      </c>
      <c r="M27" s="4">
        <f ca="1">SUM($K$3:K27)</f>
        <v>45040</v>
      </c>
      <c r="N27" s="1"/>
    </row>
    <row r="28" spans="1:14" x14ac:dyDescent="0.25">
      <c r="A28" s="2">
        <v>46260</v>
      </c>
      <c r="B28" s="4">
        <v>0</v>
      </c>
      <c r="C28" s="4">
        <v>1080</v>
      </c>
      <c r="D28" s="4">
        <v>601</v>
      </c>
      <c r="E28" s="4">
        <v>253</v>
      </c>
      <c r="F28" s="4">
        <v>876</v>
      </c>
      <c r="G28" s="5">
        <v>0</v>
      </c>
      <c r="H28" s="5">
        <v>0</v>
      </c>
      <c r="I28" s="5">
        <v>0</v>
      </c>
      <c r="J28" s="5">
        <v>1181</v>
      </c>
      <c r="K28" s="4">
        <f>SUM(B28:J28)</f>
        <v>3991</v>
      </c>
      <c r="L28" s="4">
        <f t="shared" si="0"/>
        <v>3991</v>
      </c>
      <c r="M28" s="4">
        <f ca="1">SUM($K$3:K28)</f>
        <v>45040</v>
      </c>
      <c r="N28" s="1"/>
    </row>
    <row r="29" spans="1:14" x14ac:dyDescent="0.25">
      <c r="A29" s="2">
        <v>46261</v>
      </c>
      <c r="B29" s="4">
        <v>0</v>
      </c>
      <c r="C29" s="4">
        <v>1905</v>
      </c>
      <c r="D29" s="4">
        <v>1611</v>
      </c>
      <c r="E29" s="4">
        <v>1611</v>
      </c>
      <c r="F29" s="4">
        <v>760</v>
      </c>
      <c r="G29" s="5">
        <v>0</v>
      </c>
      <c r="H29" s="5">
        <v>1878</v>
      </c>
      <c r="I29" s="5">
        <v>898</v>
      </c>
      <c r="J29" s="5">
        <v>1734</v>
      </c>
      <c r="K29" s="4">
        <f>SUM(B29:J29)</f>
        <v>10397</v>
      </c>
      <c r="L29" s="4">
        <f t="shared" si="0"/>
        <v>10397</v>
      </c>
      <c r="M29" s="4">
        <f ca="1">SUM($K$3:K29)</f>
        <v>45040</v>
      </c>
      <c r="N29" s="1"/>
    </row>
    <row r="30" spans="1:14" x14ac:dyDescent="0.25">
      <c r="A30" s="10" t="s">
        <v>14</v>
      </c>
      <c r="B30" s="1">
        <f>SUM(Rent)</f>
        <v>35000</v>
      </c>
      <c r="C30" s="1">
        <f>SUM(Groceries)</f>
        <v>31828</v>
      </c>
      <c r="D30" s="1">
        <f>SUM(Transport)</f>
        <v>36416</v>
      </c>
      <c r="E30" s="1">
        <f>SUM(Utilities)</f>
        <v>30591</v>
      </c>
      <c r="F30" s="1">
        <f>SUM(Entertainment)</f>
        <v>24920</v>
      </c>
      <c r="G30" s="1">
        <f>SUM(Healthcare)</f>
        <v>9954</v>
      </c>
      <c r="H30" s="1">
        <f>SUM(Subscription)</f>
        <v>29824</v>
      </c>
      <c r="I30" s="1">
        <f>SUM(DinningOut)</f>
        <v>36277</v>
      </c>
      <c r="J30" s="1">
        <f>SUM(Misc)</f>
        <v>32450</v>
      </c>
    </row>
    <row r="31" spans="1:14" x14ac:dyDescent="0.25">
      <c r="A31" s="10" t="s">
        <v>15</v>
      </c>
      <c r="B31" s="1">
        <f>AVERAGE(Rent)</f>
        <v>1296.2962962962963</v>
      </c>
      <c r="C31" s="1">
        <f>AVERAGE(Groceries)</f>
        <v>1178.8148148148148</v>
      </c>
      <c r="D31" s="1">
        <f>AVERAGE(Transport)</f>
        <v>1348.7407407407406</v>
      </c>
      <c r="E31" s="1">
        <f>AVERAGE(Utilities)</f>
        <v>1133</v>
      </c>
      <c r="F31" s="1">
        <f>AVERAGE(Entertainment)</f>
        <v>922.96296296296293</v>
      </c>
      <c r="G31" s="1">
        <f>AVERAGE(Healthcare)</f>
        <v>368.66666666666669</v>
      </c>
      <c r="H31" s="1">
        <f>AVERAGE(Subscription)</f>
        <v>1104.5925925925926</v>
      </c>
      <c r="I31" s="1">
        <f>AVERAGE(DinningOut)</f>
        <v>1343.5925925925926</v>
      </c>
      <c r="J31" s="1">
        <f>AVERAGE(Misc)</f>
        <v>1201.851851851852</v>
      </c>
    </row>
    <row r="32" spans="1:14" x14ac:dyDescent="0.25">
      <c r="B32" s="6"/>
    </row>
    <row r="33" spans="2:2" x14ac:dyDescent="0.25">
      <c r="B3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Sheet1</vt:lpstr>
      <vt:lpstr>DinningOut</vt:lpstr>
      <vt:lpstr>Entertainment</vt:lpstr>
      <vt:lpstr>Groceries</vt:lpstr>
      <vt:lpstr>Healthcare</vt:lpstr>
      <vt:lpstr>Misc</vt:lpstr>
      <vt:lpstr>Rent</vt:lpstr>
      <vt:lpstr>Subscription</vt:lpstr>
      <vt:lpstr>Transport</vt:lpstr>
      <vt:lpstr>Utilities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H S</dc:creator>
  <cp:lastModifiedBy>spoorthi H S</cp:lastModifiedBy>
  <dcterms:created xsi:type="dcterms:W3CDTF">2026-08-26T13:53:02Z</dcterms:created>
  <dcterms:modified xsi:type="dcterms:W3CDTF">2026-08-26T14:44:46Z</dcterms:modified>
</cp:coreProperties>
</file>