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BED44D74-FBF9-4515-B8CD-3E5F384E4CD3}" xr6:coauthVersionLast="47" xr6:coauthVersionMax="47" xr10:uidLastSave="{00000000-0000-0000-0000-000000000000}"/>
  <bookViews>
    <workbookView xWindow="-105" yWindow="0" windowWidth="10455" windowHeight="10905" xr2:uid="{00D0E92F-EAE7-46CA-B1FE-8298260D6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H2" i="1"/>
  <c r="G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sharedStrings.xml><?xml version="1.0" encoding="utf-8"?>
<sst xmlns="http://schemas.openxmlformats.org/spreadsheetml/2006/main" count="47" uniqueCount="32">
  <si>
    <t>Employee</t>
  </si>
  <si>
    <t>Department</t>
  </si>
  <si>
    <t>Salary</t>
  </si>
  <si>
    <t>Attendance</t>
  </si>
  <si>
    <t>Eligibility</t>
  </si>
  <si>
    <t>Aarav</t>
  </si>
  <si>
    <t>Aisha</t>
  </si>
  <si>
    <t>Roha</t>
  </si>
  <si>
    <t>Priya</t>
  </si>
  <si>
    <t>Kabir</t>
  </si>
  <si>
    <t>Ishitha</t>
  </si>
  <si>
    <t>Vikrram</t>
  </si>
  <si>
    <t>Arjun</t>
  </si>
  <si>
    <t>meera</t>
  </si>
  <si>
    <t>Sneha</t>
  </si>
  <si>
    <t>Dev</t>
  </si>
  <si>
    <t>Nisha</t>
  </si>
  <si>
    <t>Kunal</t>
  </si>
  <si>
    <t>Ritika</t>
  </si>
  <si>
    <t>Samar</t>
  </si>
  <si>
    <t>Pooja</t>
  </si>
  <si>
    <t>Yash</t>
  </si>
  <si>
    <t>Tanvi</t>
  </si>
  <si>
    <t>Anita</t>
  </si>
  <si>
    <t>Sales</t>
  </si>
  <si>
    <t>HR</t>
  </si>
  <si>
    <t>IT</t>
  </si>
  <si>
    <t>Finance</t>
  </si>
  <si>
    <t>Eligible Employee</t>
  </si>
  <si>
    <t>Not Eligible</t>
  </si>
  <si>
    <t>total no of Employee</t>
  </si>
  <si>
    <t>Total Salary of Eligible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</si>
</sst>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F649-53F2-40B6-9AF1-1639C4F4DB46}">
  <dimension ref="A1:H20"/>
  <sheetViews>
    <sheetView tabSelected="1" topLeftCell="B1" workbookViewId="0">
      <selection activeCell="F2" sqref="F2"/>
    </sheetView>
  </sheetViews>
  <sheetFormatPr defaultRowHeight="15.75" x14ac:dyDescent="0.25"/>
  <cols>
    <col min="2" max="2" width="14" customWidth="1"/>
    <col min="4" max="4" width="13.875" customWidth="1"/>
    <col min="5" max="5" width="25.75" customWidth="1"/>
    <col min="6" max="6" width="27.5" customWidth="1"/>
    <col min="7" max="7" width="13.375" customWidth="1"/>
    <col min="8" max="8" width="18.8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28</v>
      </c>
      <c r="G1" s="3" t="s">
        <v>29</v>
      </c>
      <c r="H1" s="3" t="s">
        <v>30</v>
      </c>
    </row>
    <row r="2" spans="1:8" x14ac:dyDescent="0.25">
      <c r="A2" s="1" t="s">
        <v>5</v>
      </c>
      <c r="B2" s="1" t="s">
        <v>24</v>
      </c>
      <c r="C2" s="1">
        <v>32000</v>
      </c>
      <c r="D2" s="1">
        <v>19</v>
      </c>
      <c r="E2" s="1" t="str">
        <f>IF(D2&gt;20,"Eligible","Not Eligible")</f>
        <v>Not Eligible</v>
      </c>
      <c r="F2">
        <f>COUNTIF(E2:E20,"Eligible")</f>
        <v>10</v>
      </c>
      <c r="G2">
        <f>COUNTIF(E2:E20,"Not Eligible")</f>
        <v>9</v>
      </c>
      <c r="H2">
        <f>COUNTA(A2:A20)</f>
        <v>19</v>
      </c>
    </row>
    <row r="3" spans="1:8" x14ac:dyDescent="0.25">
      <c r="A3" s="1" t="s">
        <v>6</v>
      </c>
      <c r="B3" s="1" t="s">
        <v>25</v>
      </c>
      <c r="C3" s="1">
        <v>48000</v>
      </c>
      <c r="D3" s="1">
        <v>23</v>
      </c>
      <c r="E3" s="1" t="str">
        <f t="shared" ref="E3:E20" si="0">IF(D3&gt;20,"Eligible","Not Eligible")</f>
        <v>Eligible</v>
      </c>
    </row>
    <row r="4" spans="1:8" x14ac:dyDescent="0.25">
      <c r="A4" s="1" t="s">
        <v>7</v>
      </c>
      <c r="B4" s="1" t="s">
        <v>26</v>
      </c>
      <c r="C4" s="1">
        <v>64000</v>
      </c>
      <c r="D4" s="1">
        <v>21</v>
      </c>
      <c r="E4" s="1" t="str">
        <f t="shared" si="0"/>
        <v>Eligible</v>
      </c>
    </row>
    <row r="5" spans="1:8" x14ac:dyDescent="0.25">
      <c r="A5" s="1" t="s">
        <v>8</v>
      </c>
      <c r="B5" s="1" t="s">
        <v>27</v>
      </c>
      <c r="C5" s="1">
        <v>80000</v>
      </c>
      <c r="D5" s="1">
        <v>18</v>
      </c>
      <c r="E5" s="1" t="str">
        <f t="shared" si="0"/>
        <v>Not Eligible</v>
      </c>
    </row>
    <row r="6" spans="1:8" x14ac:dyDescent="0.25">
      <c r="A6" s="1" t="s">
        <v>9</v>
      </c>
      <c r="B6" s="1" t="s">
        <v>24</v>
      </c>
      <c r="C6" s="1">
        <v>51000</v>
      </c>
      <c r="D6" s="1">
        <v>22</v>
      </c>
      <c r="E6" s="1" t="str">
        <f t="shared" si="0"/>
        <v>Eligible</v>
      </c>
      <c r="F6" s="4" t="s">
        <v>31</v>
      </c>
    </row>
    <row r="7" spans="1:8" x14ac:dyDescent="0.25">
      <c r="A7" s="1" t="s">
        <v>10</v>
      </c>
      <c r="B7" s="1" t="s">
        <v>25</v>
      </c>
      <c r="C7" s="1">
        <v>76000</v>
      </c>
      <c r="D7" s="1">
        <v>20</v>
      </c>
      <c r="E7" s="1" t="str">
        <f t="shared" si="0"/>
        <v>Not Eligible</v>
      </c>
      <c r="F7">
        <f>SUMIF(E2:E20,"Eligible",C2:C20)</f>
        <v>532000</v>
      </c>
    </row>
    <row r="8" spans="1:8" x14ac:dyDescent="0.25">
      <c r="A8" s="1" t="s">
        <v>11</v>
      </c>
      <c r="B8" s="1" t="s">
        <v>26</v>
      </c>
      <c r="C8" s="1">
        <v>59000</v>
      </c>
      <c r="D8" s="1">
        <v>22</v>
      </c>
      <c r="E8" s="1" t="str">
        <f t="shared" si="0"/>
        <v>Eligible</v>
      </c>
    </row>
    <row r="9" spans="1:8" x14ac:dyDescent="0.25">
      <c r="A9" s="1" t="s">
        <v>12</v>
      </c>
      <c r="B9" s="1" t="s">
        <v>27</v>
      </c>
      <c r="C9" s="1">
        <v>42000</v>
      </c>
      <c r="D9" s="1">
        <v>24</v>
      </c>
      <c r="E9" s="1" t="str">
        <f t="shared" si="0"/>
        <v>Eligible</v>
      </c>
    </row>
    <row r="10" spans="1:8" x14ac:dyDescent="0.25">
      <c r="A10" s="1" t="s">
        <v>13</v>
      </c>
      <c r="B10" s="1" t="s">
        <v>24</v>
      </c>
      <c r="C10" s="1">
        <v>68000</v>
      </c>
      <c r="D10" s="1">
        <v>25</v>
      </c>
      <c r="E10" s="1" t="str">
        <f t="shared" si="0"/>
        <v>Eligible</v>
      </c>
    </row>
    <row r="11" spans="1:8" x14ac:dyDescent="0.25">
      <c r="A11" s="1" t="s">
        <v>14</v>
      </c>
      <c r="B11" s="1" t="s">
        <v>25</v>
      </c>
      <c r="C11" s="1">
        <v>73000</v>
      </c>
      <c r="D11" s="1">
        <v>17</v>
      </c>
      <c r="E11" s="1" t="str">
        <f t="shared" si="0"/>
        <v>Not Eligible</v>
      </c>
    </row>
    <row r="12" spans="1:8" x14ac:dyDescent="0.25">
      <c r="A12" s="1" t="s">
        <v>15</v>
      </c>
      <c r="B12" s="1" t="s">
        <v>26</v>
      </c>
      <c r="C12" s="1">
        <v>36000</v>
      </c>
      <c r="D12" s="1">
        <v>25</v>
      </c>
      <c r="E12" s="1" t="str">
        <f t="shared" si="0"/>
        <v>Eligible</v>
      </c>
    </row>
    <row r="13" spans="1:8" x14ac:dyDescent="0.25">
      <c r="A13" s="1" t="s">
        <v>16</v>
      </c>
      <c r="B13" s="1" t="s">
        <v>27</v>
      </c>
      <c r="C13" s="1">
        <v>56000</v>
      </c>
      <c r="D13" s="1">
        <v>18</v>
      </c>
      <c r="E13" s="1" t="str">
        <f t="shared" si="0"/>
        <v>Not Eligible</v>
      </c>
    </row>
    <row r="14" spans="1:8" x14ac:dyDescent="0.25">
      <c r="A14" s="1" t="s">
        <v>17</v>
      </c>
      <c r="B14" s="1" t="s">
        <v>26</v>
      </c>
      <c r="C14" s="1">
        <v>58000</v>
      </c>
      <c r="D14" s="1">
        <v>12</v>
      </c>
      <c r="E14" s="1" t="str">
        <f t="shared" si="0"/>
        <v>Not Eligible</v>
      </c>
    </row>
    <row r="15" spans="1:8" x14ac:dyDescent="0.25">
      <c r="A15" s="1" t="s">
        <v>18</v>
      </c>
      <c r="B15" s="1" t="s">
        <v>27</v>
      </c>
      <c r="C15" s="1">
        <v>45000</v>
      </c>
      <c r="D15" s="1">
        <v>20</v>
      </c>
      <c r="E15" s="1" t="str">
        <f t="shared" si="0"/>
        <v>Not Eligible</v>
      </c>
    </row>
    <row r="16" spans="1:8" x14ac:dyDescent="0.25">
      <c r="A16" s="1" t="s">
        <v>19</v>
      </c>
      <c r="B16" s="1" t="s">
        <v>24</v>
      </c>
      <c r="C16" s="1">
        <v>52000</v>
      </c>
      <c r="D16" s="1">
        <v>26</v>
      </c>
      <c r="E16" s="1" t="str">
        <f t="shared" si="0"/>
        <v>Eligible</v>
      </c>
    </row>
    <row r="17" spans="1:5" x14ac:dyDescent="0.25">
      <c r="A17" s="1" t="s">
        <v>20</v>
      </c>
      <c r="B17" s="1" t="s">
        <v>25</v>
      </c>
      <c r="C17" s="1">
        <v>62000</v>
      </c>
      <c r="D17" s="1">
        <v>19</v>
      </c>
      <c r="E17" s="1" t="str">
        <f t="shared" si="0"/>
        <v>Not Eligible</v>
      </c>
    </row>
    <row r="18" spans="1:5" x14ac:dyDescent="0.25">
      <c r="A18" s="1" t="s">
        <v>21</v>
      </c>
      <c r="B18" s="1" t="s">
        <v>26</v>
      </c>
      <c r="C18" s="1">
        <v>56000</v>
      </c>
      <c r="D18" s="1">
        <v>24</v>
      </c>
      <c r="E18" s="1" t="str">
        <f t="shared" si="0"/>
        <v>Eligible</v>
      </c>
    </row>
    <row r="19" spans="1:5" x14ac:dyDescent="0.25">
      <c r="A19" s="1" t="s">
        <v>22</v>
      </c>
      <c r="B19" s="1" t="s">
        <v>27</v>
      </c>
      <c r="C19" s="1">
        <v>75000</v>
      </c>
      <c r="D19" s="1">
        <v>17</v>
      </c>
      <c r="E19" s="1" t="str">
        <f t="shared" si="0"/>
        <v>Not Eligible</v>
      </c>
    </row>
    <row r="20" spans="1:5" x14ac:dyDescent="0.25">
      <c r="A20" s="1" t="s">
        <v>23</v>
      </c>
      <c r="B20" s="1" t="s">
        <v>25</v>
      </c>
      <c r="C20" s="1">
        <v>56000</v>
      </c>
      <c r="D20" s="1">
        <v>22</v>
      </c>
      <c r="E20" s="1" t="str">
        <f t="shared" si="0"/>
        <v>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2026-08-25T05:54:01Z</dcterms:created>
  <dcterms:modified xsi:type="dcterms:W3CDTF">2026-08-25T06:12:53Z</dcterms:modified>
</cp:coreProperties>
</file>